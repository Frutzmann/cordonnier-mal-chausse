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Analytics" sheetId="1" r:id="rId5"/>
    <sheet state="visible" name="Search Console" sheetId="2" r:id="rId6"/>
    <sheet state="visible" name="Meta Ads" sheetId="3" r:id="rId7"/>
    <sheet state="visible" name="Objectifs Client" sheetId="4" r:id="rId8"/>
  </sheets>
  <definedNames/>
  <calcPr/>
</workbook>
</file>

<file path=xl/sharedStrings.xml><?xml version="1.0" encoding="utf-8"?>
<sst xmlns="http://schemas.openxmlformats.org/spreadsheetml/2006/main" count="146" uniqueCount="132">
  <si>
    <t>Date</t>
  </si>
  <si>
    <t>Sessions</t>
  </si>
  <si>
    <t>Utilisateurs</t>
  </si>
  <si>
    <t>Pages/Session</t>
  </si>
  <si>
    <t>Taux Rebond (%)</t>
  </si>
  <si>
    <t>Conversions</t>
  </si>
  <si>
    <t>Taux Conv. (%)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</si>
  <si>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</si>
  <si>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</si>
  <si>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</si>
  <si>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</si>
  <si>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</si>
  <si>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</si>
  <si>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</si>
  <si>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</si>
  <si>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</si>
  <si>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</si>
  <si>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</si>
  <si>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</si>
  <si>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</si>
  <si>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</si>
  <si>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</si>
  <si>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</si>
  <si>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</si>
  <si>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</si>
  <si>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</si>
  <si>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</si>
  <si>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</si>
  <si>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</si>
  <si>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</si>
  <si>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</si>
  <si>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</si>
  <si>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</si>
  <si>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</si>
  <si>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</si>
  <si>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</si>
  <si>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</si>
  <si>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</si>
  <si>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TOTAL</t>
  </si>
  <si>
    <t>Requête</t>
  </si>
  <si>
    <t>Clics</t>
  </si>
  <si>
    <t>Impressions</t>
  </si>
  <si>
    <t>CTR (%)</t>
  </si>
  <si>
    <t>Position Moy.</t>
  </si>
  <si>
    <t>Tendance</t>
  </si>
  <si>
    <t>technovert avis</t>
  </si>
  <si>
    <t>↗️ +3.2</t>
  </si>
  <si>
    <t>logiciel gestion environnement</t>
  </si>
  <si>
    <t>↗️ +1.8</t>
  </si>
  <si>
    <t>bilan carbone entreprise</t>
  </si>
  <si>
    <t>→ 0.0</t>
  </si>
  <si>
    <t>technovert prix</t>
  </si>
  <si>
    <t>↗️ +2.1</t>
  </si>
  <si>
    <t>logiciel RSE PME</t>
  </si>
  <si>
    <t>↗️ +4.5</t>
  </si>
  <si>
    <t>conformité CSRD logiciel</t>
  </si>
  <si>
    <t>↗️ +7.3</t>
  </si>
  <si>
    <t>reporting ESG automatisé</t>
  </si>
  <si>
    <t>↗️ +2.9</t>
  </si>
  <si>
    <t>empreinte carbone calcul</t>
  </si>
  <si>
    <t>↘️ -1.3</t>
  </si>
  <si>
    <t>technovert vs greenly</t>
  </si>
  <si>
    <t>↗️ +1.1</t>
  </si>
  <si>
    <t>logiciel bilan GES</t>
  </si>
  <si>
    <t>→ +0.2</t>
  </si>
  <si>
    <t>CSRD PME obligation 2026</t>
  </si>
  <si>
    <t>↗️ +5.8</t>
  </si>
  <si>
    <t>technovert demo</t>
  </si>
  <si>
    <t>↗️ +0.8</t>
  </si>
  <si>
    <t>alternative greenly pas cher</t>
  </si>
  <si>
    <t>↗️ +3.4</t>
  </si>
  <si>
    <t>reporting développement durable</t>
  </si>
  <si>
    <t>↘️ -0.7</t>
  </si>
  <si>
    <t>scope 1 2 3 explication</t>
  </si>
  <si>
    <t>logiciel comptabilité carbone</t>
  </si>
  <si>
    <t>↗️ +1.6</t>
  </si>
  <si>
    <t>BEGES réglementaire 2026</t>
  </si>
  <si>
    <t>↗️ +4.2</t>
  </si>
  <si>
    <t>technovert API intégration</t>
  </si>
  <si>
    <t>→ +0.3</t>
  </si>
  <si>
    <t>audit RSE PME gratuit</t>
  </si>
  <si>
    <t>formation bilan carbone</t>
  </si>
  <si>
    <t>↘️ -2.3</t>
  </si>
  <si>
    <t>collecte données ESG automatique</t>
  </si>
  <si>
    <t>↗️ +6.1</t>
  </si>
  <si>
    <t>taxonomie verte européenne logiciel</t>
  </si>
  <si>
    <t>↗️ +3.7</t>
  </si>
  <si>
    <t>comparatif logiciel RSE 2026</t>
  </si>
  <si>
    <t>↗️ +2.8</t>
  </si>
  <si>
    <t>dashboard carbone temps réel</t>
  </si>
  <si>
    <t>↗️ +8.2</t>
  </si>
  <si>
    <t>neutralité carbone certification</t>
  </si>
  <si>
    <t>↘️ -1.8</t>
  </si>
  <si>
    <t>Campagne</t>
  </si>
  <si>
    <t>Statut</t>
  </si>
  <si>
    <t>Budget (€)</t>
  </si>
  <si>
    <t>Dépensé (€)</t>
  </si>
  <si>
    <t>CPC (€)</t>
  </si>
  <si>
    <t>🟢 Acquisition — Demo gratuite</t>
  </si>
  <si>
    <t>Active</t>
  </si>
  <si>
    <t>🟢 Retargeting — Visiteurs site</t>
  </si>
  <si>
    <t>🟢 Lookalike — Clients existants</t>
  </si>
  <si>
    <t>🟡 Awareness — CSRD 2026</t>
  </si>
  <si>
    <t>En pause</t>
  </si>
  <si>
    <t>🟢 Lead Magnet — Guide RSE</t>
  </si>
  <si>
    <t>📈 Métriques clés</t>
  </si>
  <si>
    <t>CPA moyen (€)</t>
  </si>
  <si>
    <t>ROAS global</t>
  </si>
  <si>
    <t>Panier moyen client (€)</t>
  </si>
  <si>
    <t>KPI</t>
  </si>
  <si>
    <t>Objectif</t>
  </si>
  <si>
    <t>Réalisé</t>
  </si>
  <si>
    <t>Atteinte (%)</t>
  </si>
  <si>
    <t>Commentaire</t>
  </si>
  <si>
    <t>Sessions organiques</t>
  </si>
  <si>
    <t>✅ Dépassé</t>
  </si>
  <si>
    <t>Hausse portée par les contenus CSRD</t>
  </si>
  <si>
    <t>Leads qualifiés (MQL)</t>
  </si>
  <si>
    <t>⚠️ En cours</t>
  </si>
  <si>
    <t>Formulaire demo = 31, Guide = 7</t>
  </si>
  <si>
    <t>Taux de conversion site</t>
  </si>
  <si>
    <t>⚠️ Proche</t>
  </si>
  <si>
    <t>Landing page demo à optimiser</t>
  </si>
  <si>
    <t>Position moy. top 10 KW</t>
  </si>
  <si>
    <t>✅ Atteint</t>
  </si>
  <si>
    <t>Progression CSRD et RSE PME</t>
  </si>
  <si>
    <t>CPA Meta Ads (€)</t>
  </si>
  <si>
    <t>En dessous du seuil cible</t>
  </si>
  <si>
    <t>Nouveaux backlinks</t>
  </si>
  <si>
    <t>3 articles invités en attente</t>
  </si>
  <si>
    <t>Score Core Web Vitals</t>
  </si>
  <si>
    <t>Optimisations images +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</si>
</sst>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333333"/>
      <name val="Arial"/>
    </font>
    <font>
      <b/>
      <sz val="10.0"/>
      <color theme="1"/>
      <name val="Arial"/>
    </font>
    <font>
      <b/>
      <sz val="12.0"/>
      <color rgb="FF1A1A2E"/>
      <name val="Arial"/>
    </font>
    <font>
      <b/>
      <sz val="11.0"/>
      <color rgb="FF1A1A2E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8F4FD"/>
        <bgColor rgb="FFE8F4FD"/>
      </patternFill>
    </fill>
  </fills>
  <borders count="4">
    <border/>
    <border>
      <left/>
      <right/>
      <top/>
      <bottom/>
    </border>
    <border>
      <left/>
      <right/>
      <top/>
      <bottom style="thin">
        <color rgb="FFE0E0E0"/>
      </bottom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2" fillId="3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pageSetUpPr/>
  </sheetPr>
  <sheetViews>
    <sheetView workbookViewId="0"/>
  </sheetViews>
  <sheetFormatPr customHeight="1" defaultColWidth="14.43" defaultRowHeight="15.0"/>
  <cols>
    <col customWidth="1" min="1" max="7" width="18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366.0</v>
      </c>
      <c r="C2" s="2">
        <v>264.0</v>
      </c>
      <c r="D2" s="2">
        <v>2.6</v>
      </c>
      <c r="E2" s="2">
        <v>42.5</v>
      </c>
      <c r="F2" s="2">
        <v>13.0</v>
      </c>
      <c r="G2" s="2">
        <v>3.55</v>
      </c>
    </row>
    <row r="3">
      <c r="A3" s="3" t="s">
        <v>8</v>
      </c>
      <c r="B3" s="3">
        <v>348.0</v>
      </c>
      <c r="C3" s="3">
        <v>269.0</v>
      </c>
      <c r="D3" s="3">
        <v>3.1</v>
      </c>
      <c r="E3" s="3">
        <v>38.6</v>
      </c>
      <c r="F3" s="3">
        <v>7.0</v>
      </c>
      <c r="G3" s="3">
        <v>2.01</v>
      </c>
    </row>
    <row r="4">
      <c r="A4" s="2" t="s">
        <v>9</v>
      </c>
      <c r="B4" s="2">
        <v>177.0</v>
      </c>
      <c r="C4" s="2">
        <v>127.0</v>
      </c>
      <c r="D4" s="2">
        <v>2.4</v>
      </c>
      <c r="E4" s="2">
        <v>51.0</v>
      </c>
      <c r="F4" s="2">
        <v>5.0</v>
      </c>
      <c r="G4" s="2">
        <v>2.82</v>
      </c>
    </row>
    <row r="5">
      <c r="A5" s="3" t="s">
        <v>10</v>
      </c>
      <c r="B5" s="3">
        <v>173.0</v>
      </c>
      <c r="C5" s="3">
        <v>129.0</v>
      </c>
      <c r="D5" s="3">
        <v>3.6</v>
      </c>
      <c r="E5" s="3">
        <v>53.2</v>
      </c>
      <c r="F5" s="3">
        <v>3.0</v>
      </c>
      <c r="G5" s="3">
        <v>1.73</v>
      </c>
    </row>
    <row r="6">
      <c r="A6" s="2" t="s">
        <v>11</v>
      </c>
      <c r="B6" s="2">
        <v>306.0</v>
      </c>
      <c r="C6" s="2">
        <v>225.0</v>
      </c>
      <c r="D6" s="2">
        <v>3.7</v>
      </c>
      <c r="E6" s="2">
        <v>44.7</v>
      </c>
      <c r="F6" s="2">
        <v>6.0</v>
      </c>
      <c r="G6" s="2">
        <v>1.96</v>
      </c>
    </row>
    <row r="7">
      <c r="A7" s="3" t="s">
        <v>12</v>
      </c>
      <c r="B7" s="3">
        <v>304.0</v>
      </c>
      <c r="C7" s="3">
        <v>229.0</v>
      </c>
      <c r="D7" s="3">
        <v>2.5</v>
      </c>
      <c r="E7" s="3">
        <v>38.9</v>
      </c>
      <c r="F7" s="3">
        <v>9.0</v>
      </c>
      <c r="G7" s="3">
        <v>2.96</v>
      </c>
    </row>
    <row r="8">
      <c r="A8" s="2" t="s">
        <v>13</v>
      </c>
      <c r="B8" s="2">
        <v>412.0</v>
      </c>
      <c r="C8" s="2">
        <v>312.0</v>
      </c>
      <c r="D8" s="2">
        <v>3.0</v>
      </c>
      <c r="E8" s="2">
        <v>54.6</v>
      </c>
      <c r="F8" s="2">
        <v>14.0</v>
      </c>
      <c r="G8" s="2">
        <v>3.4</v>
      </c>
    </row>
    <row r="9">
      <c r="A9" s="3" t="s">
        <v>14</v>
      </c>
      <c r="B9" s="3">
        <v>339.0</v>
      </c>
      <c r="C9" s="3">
        <v>250.0</v>
      </c>
      <c r="D9" s="3">
        <v>2.2</v>
      </c>
      <c r="E9" s="3">
        <v>51.2</v>
      </c>
      <c r="F9" s="3">
        <v>13.0</v>
      </c>
      <c r="G9" s="3">
        <v>3.83</v>
      </c>
    </row>
    <row r="10">
      <c r="A10" s="2" t="s">
        <v>15</v>
      </c>
      <c r="B10" s="2">
        <v>351.0</v>
      </c>
      <c r="C10" s="2">
        <v>283.0</v>
      </c>
      <c r="D10" s="2">
        <v>2.7</v>
      </c>
      <c r="E10" s="2">
        <v>47.1</v>
      </c>
      <c r="F10" s="2">
        <v>14.0</v>
      </c>
      <c r="G10" s="2">
        <v>3.99</v>
      </c>
    </row>
    <row r="11">
      <c r="A11" s="3" t="s">
        <v>16</v>
      </c>
      <c r="B11" s="3">
        <v>166.0</v>
      </c>
      <c r="C11" s="3">
        <v>122.0</v>
      </c>
      <c r="D11" s="3">
        <v>2.6</v>
      </c>
      <c r="E11" s="3">
        <v>56.7</v>
      </c>
      <c r="F11" s="3">
        <v>5.0</v>
      </c>
      <c r="G11" s="3">
        <v>3.01</v>
      </c>
    </row>
    <row r="12">
      <c r="A12" s="2" t="s">
        <v>17</v>
      </c>
      <c r="B12" s="2">
        <v>182.0</v>
      </c>
      <c r="C12" s="2">
        <v>140.0</v>
      </c>
      <c r="D12" s="2">
        <v>2.5</v>
      </c>
      <c r="E12" s="2">
        <v>47.2</v>
      </c>
      <c r="F12" s="2">
        <v>4.0</v>
      </c>
      <c r="G12" s="2">
        <v>2.2</v>
      </c>
    </row>
    <row r="13">
      <c r="A13" s="3" t="s">
        <v>18</v>
      </c>
      <c r="B13" s="3">
        <v>342.0</v>
      </c>
      <c r="C13" s="3">
        <v>253.0</v>
      </c>
      <c r="D13" s="3">
        <v>2.7</v>
      </c>
      <c r="E13" s="3">
        <v>53.4</v>
      </c>
      <c r="F13" s="3">
        <v>6.0</v>
      </c>
      <c r="G13" s="3">
        <v>1.75</v>
      </c>
    </row>
    <row r="14">
      <c r="A14" s="2" t="s">
        <v>19</v>
      </c>
      <c r="B14" s="2">
        <v>285.0</v>
      </c>
      <c r="C14" s="2">
        <v>214.0</v>
      </c>
      <c r="D14" s="2">
        <v>2.6</v>
      </c>
      <c r="E14" s="2">
        <v>42.2</v>
      </c>
      <c r="F14" s="2">
        <v>12.0</v>
      </c>
      <c r="G14" s="2">
        <v>4.21</v>
      </c>
    </row>
    <row r="15">
      <c r="A15" s="3" t="s">
        <v>20</v>
      </c>
      <c r="B15" s="3">
        <v>367.0</v>
      </c>
      <c r="C15" s="3">
        <v>288.0</v>
      </c>
      <c r="D15" s="3">
        <v>2.8</v>
      </c>
      <c r="E15" s="3">
        <v>56.3</v>
      </c>
      <c r="F15" s="3">
        <v>11.0</v>
      </c>
      <c r="G15" s="3">
        <v>3.0</v>
      </c>
    </row>
    <row r="16">
      <c r="A16" s="2" t="s">
        <v>21</v>
      </c>
      <c r="B16" s="2">
        <v>330.0</v>
      </c>
      <c r="C16" s="2">
        <v>262.0</v>
      </c>
      <c r="D16" s="2">
        <v>3.0</v>
      </c>
      <c r="E16" s="2">
        <v>52.9</v>
      </c>
      <c r="F16" s="2">
        <v>9.0</v>
      </c>
      <c r="G16" s="2">
        <v>2.73</v>
      </c>
    </row>
    <row r="17">
      <c r="A17" s="3" t="s">
        <v>22</v>
      </c>
      <c r="B17" s="3">
        <v>330.0</v>
      </c>
      <c r="C17" s="3">
        <v>244.0</v>
      </c>
      <c r="D17" s="3">
        <v>3.8</v>
      </c>
      <c r="E17" s="3">
        <v>48.2</v>
      </c>
      <c r="F17" s="3">
        <v>6.0</v>
      </c>
      <c r="G17" s="3">
        <v>1.82</v>
      </c>
    </row>
    <row r="18" ht="15.75" customHeight="1">
      <c r="A18" s="2" t="s">
        <v>23</v>
      </c>
      <c r="B18" s="2">
        <v>204.0</v>
      </c>
      <c r="C18" s="2">
        <v>149.0</v>
      </c>
      <c r="D18" s="2">
        <v>2.4</v>
      </c>
      <c r="E18" s="2">
        <v>51.6</v>
      </c>
      <c r="F18" s="2">
        <v>6.0</v>
      </c>
      <c r="G18" s="2">
        <v>2.94</v>
      </c>
    </row>
    <row r="19" ht="15.75" customHeight="1">
      <c r="A19" s="3" t="s">
        <v>24</v>
      </c>
      <c r="B19" s="3">
        <v>178.0</v>
      </c>
      <c r="C19" s="3">
        <v>145.0</v>
      </c>
      <c r="D19" s="3">
        <v>3.0</v>
      </c>
      <c r="E19" s="3">
        <v>57.4</v>
      </c>
      <c r="F19" s="3">
        <v>7.0</v>
      </c>
      <c r="G19" s="3">
        <v>3.93</v>
      </c>
    </row>
    <row r="20" ht="15.75" customHeight="1">
      <c r="A20" s="2" t="s">
        <v>25</v>
      </c>
      <c r="B20" s="2">
        <v>349.0</v>
      </c>
      <c r="C20" s="2">
        <v>255.0</v>
      </c>
      <c r="D20" s="2">
        <v>3.6</v>
      </c>
      <c r="E20" s="2">
        <v>53.0</v>
      </c>
      <c r="F20" s="2">
        <v>13.0</v>
      </c>
      <c r="G20" s="2">
        <v>3.72</v>
      </c>
    </row>
    <row r="21" ht="15.75" customHeight="1">
      <c r="A21" s="3" t="s">
        <v>26</v>
      </c>
      <c r="B21" s="3">
        <v>293.0</v>
      </c>
      <c r="C21" s="3">
        <v>223.0</v>
      </c>
      <c r="D21" s="3">
        <v>2.9</v>
      </c>
      <c r="E21" s="3">
        <v>57.1</v>
      </c>
      <c r="F21" s="3">
        <v>12.0</v>
      </c>
      <c r="G21" s="3">
        <v>4.1</v>
      </c>
    </row>
    <row r="22" ht="15.75" customHeight="1">
      <c r="A22" s="2" t="s">
        <v>27</v>
      </c>
      <c r="B22" s="2">
        <v>434.0</v>
      </c>
      <c r="C22" s="2">
        <v>345.0</v>
      </c>
      <c r="D22" s="2">
        <v>3.0</v>
      </c>
      <c r="E22" s="2">
        <v>40.1</v>
      </c>
      <c r="F22" s="2">
        <v>15.0</v>
      </c>
      <c r="G22" s="2">
        <v>3.46</v>
      </c>
    </row>
    <row r="23" ht="15.75" customHeight="1">
      <c r="A23" s="3" t="s">
        <v>28</v>
      </c>
      <c r="B23" s="3">
        <v>388.0</v>
      </c>
      <c r="C23" s="3">
        <v>302.0</v>
      </c>
      <c r="D23" s="3">
        <v>2.4</v>
      </c>
      <c r="E23" s="3">
        <v>53.3</v>
      </c>
      <c r="F23" s="3">
        <v>12.0</v>
      </c>
      <c r="G23" s="3">
        <v>3.09</v>
      </c>
    </row>
    <row r="24" ht="15.75" customHeight="1">
      <c r="A24" s="2" t="s">
        <v>29</v>
      </c>
      <c r="B24" s="2">
        <v>389.0</v>
      </c>
      <c r="C24" s="2">
        <v>315.0</v>
      </c>
      <c r="D24" s="2">
        <v>3.1</v>
      </c>
      <c r="E24" s="2">
        <v>47.8</v>
      </c>
      <c r="F24" s="2">
        <v>8.0</v>
      </c>
      <c r="G24" s="2">
        <v>2.06</v>
      </c>
    </row>
    <row r="25" ht="15.75" customHeight="1">
      <c r="A25" s="3" t="s">
        <v>30</v>
      </c>
      <c r="B25" s="3">
        <v>211.0</v>
      </c>
      <c r="C25" s="3">
        <v>169.0</v>
      </c>
      <c r="D25" s="3">
        <v>2.6</v>
      </c>
      <c r="E25" s="3">
        <v>39.2</v>
      </c>
      <c r="F25" s="3">
        <v>8.0</v>
      </c>
      <c r="G25" s="3">
        <v>3.79</v>
      </c>
    </row>
    <row r="26" ht="15.75" customHeight="1">
      <c r="A26" s="2" t="s">
        <v>31</v>
      </c>
      <c r="B26" s="2">
        <v>164.0</v>
      </c>
      <c r="C26" s="2">
        <v>126.0</v>
      </c>
      <c r="D26" s="2">
        <v>2.2</v>
      </c>
      <c r="E26" s="2">
        <v>53.2</v>
      </c>
      <c r="F26" s="2">
        <v>6.0</v>
      </c>
      <c r="G26" s="2">
        <v>3.66</v>
      </c>
    </row>
    <row r="27" ht="15.75" customHeight="1">
      <c r="A27" s="3" t="s">
        <v>32</v>
      </c>
      <c r="B27" s="3">
        <v>355.0</v>
      </c>
      <c r="C27" s="3">
        <v>289.0</v>
      </c>
      <c r="D27" s="3">
        <v>2.4</v>
      </c>
      <c r="E27" s="3">
        <v>48.6</v>
      </c>
      <c r="F27" s="3">
        <v>12.0</v>
      </c>
      <c r="G27" s="3">
        <v>3.38</v>
      </c>
    </row>
    <row r="28" ht="15.75" customHeight="1">
      <c r="A28" s="2" t="s">
        <v>33</v>
      </c>
      <c r="B28" s="2">
        <v>380.0</v>
      </c>
      <c r="C28" s="2">
        <v>302.0</v>
      </c>
      <c r="D28" s="2">
        <v>3.3</v>
      </c>
      <c r="E28" s="2">
        <v>52.3</v>
      </c>
      <c r="F28" s="2">
        <v>10.0</v>
      </c>
      <c r="G28" s="2">
        <v>2.63</v>
      </c>
    </row>
    <row r="29" ht="15.75" customHeight="1">
      <c r="A29" s="3" t="s">
        <v>34</v>
      </c>
      <c r="B29" s="3">
        <v>410.0</v>
      </c>
      <c r="C29" s="3">
        <v>313.0</v>
      </c>
      <c r="D29" s="3">
        <v>3.0</v>
      </c>
      <c r="E29" s="3">
        <v>40.4</v>
      </c>
      <c r="F29" s="3">
        <v>9.0</v>
      </c>
      <c r="G29" s="3">
        <v>2.2</v>
      </c>
    </row>
    <row r="30" ht="15.75" customHeight="1">
      <c r="A30" s="2" t="s">
        <v>35</v>
      </c>
      <c r="B30" s="2">
        <v>322.0</v>
      </c>
      <c r="C30" s="2">
        <v>249.0</v>
      </c>
      <c r="D30" s="2">
        <v>3.1</v>
      </c>
      <c r="E30" s="2">
        <v>38.1</v>
      </c>
      <c r="F30" s="2">
        <v>11.0</v>
      </c>
      <c r="G30" s="2">
        <v>3.42</v>
      </c>
    </row>
    <row r="31" ht="15.75" customHeight="1">
      <c r="A31" s="3" t="s">
        <v>36</v>
      </c>
      <c r="B31" s="3">
        <v>309.0</v>
      </c>
      <c r="C31" s="3">
        <v>250.0</v>
      </c>
      <c r="D31" s="3">
        <v>3.6</v>
      </c>
      <c r="E31" s="3">
        <v>39.4</v>
      </c>
      <c r="F31" s="3">
        <v>7.0</v>
      </c>
      <c r="G31" s="3">
        <v>2.27</v>
      </c>
    </row>
    <row r="32" ht="15.75" customHeight="1">
      <c r="A32" s="2" t="s">
        <v>37</v>
      </c>
      <c r="B32" s="2">
        <v>187.0</v>
      </c>
      <c r="C32" s="2">
        <v>144.0</v>
      </c>
      <c r="D32" s="2">
        <v>3.3</v>
      </c>
      <c r="E32" s="2">
        <v>55.6</v>
      </c>
      <c r="F32" s="2">
        <v>6.0</v>
      </c>
      <c r="G32" s="2">
        <v>3.21</v>
      </c>
    </row>
    <row r="33" ht="15.75" customHeight="1">
      <c r="A33" s="4" t="s">
        <v>38</v>
      </c>
      <c r="B33" s="4">
        <f t="shared" ref="B33:C33" si="1">SUM(B2:B32)</f>
        <v>9351</v>
      </c>
      <c r="C33" s="4">
        <f t="shared" si="1"/>
        <v>7187</v>
      </c>
      <c r="D33" s="4">
        <f t="shared" ref="D33:E33" si="2">AVERAGE(D2:D32)</f>
        <v>2.893548387</v>
      </c>
      <c r="E33" s="4">
        <f t="shared" si="2"/>
        <v>48.57419355</v>
      </c>
      <c r="F33" s="4">
        <f>SUM(F2:F32)</f>
        <v>279</v>
      </c>
      <c r="G33" s="4">
        <f>AVERAGE(G2:G32)</f>
        <v>2.994516129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6" width="16.0"/>
    <col customWidth="1" min="7" max="26" width="8.71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>
      <c r="A2" s="5" t="s">
        <v>45</v>
      </c>
      <c r="B2" s="2">
        <v>245.0</v>
      </c>
      <c r="C2" s="2">
        <v>1820.0</v>
      </c>
      <c r="D2" s="2">
        <v>13.5</v>
      </c>
      <c r="E2" s="2">
        <v>2.1</v>
      </c>
      <c r="F2" s="2" t="s">
        <v>46</v>
      </c>
    </row>
    <row r="3">
      <c r="A3" s="6" t="s">
        <v>47</v>
      </c>
      <c r="B3" s="3">
        <v>189.0</v>
      </c>
      <c r="C3" s="3">
        <v>4200.0</v>
      </c>
      <c r="D3" s="3">
        <v>4.5</v>
      </c>
      <c r="E3" s="3">
        <v>5.3</v>
      </c>
      <c r="F3" s="3" t="s">
        <v>48</v>
      </c>
    </row>
    <row r="4">
      <c r="A4" s="5" t="s">
        <v>49</v>
      </c>
      <c r="B4" s="2">
        <v>167.0</v>
      </c>
      <c r="C4" s="2">
        <v>8900.0</v>
      </c>
      <c r="D4" s="2">
        <v>1.9</v>
      </c>
      <c r="E4" s="2">
        <v>8.7</v>
      </c>
      <c r="F4" s="2" t="s">
        <v>50</v>
      </c>
    </row>
    <row r="5">
      <c r="A5" s="6" t="s">
        <v>51</v>
      </c>
      <c r="B5" s="3">
        <v>156.0</v>
      </c>
      <c r="C5" s="3">
        <v>980.0</v>
      </c>
      <c r="D5" s="3">
        <v>15.9</v>
      </c>
      <c r="E5" s="3">
        <v>1.8</v>
      </c>
      <c r="F5" s="3" t="s">
        <v>52</v>
      </c>
    </row>
    <row r="6">
      <c r="A6" s="5" t="s">
        <v>53</v>
      </c>
      <c r="B6" s="2">
        <v>134.0</v>
      </c>
      <c r="C6" s="2">
        <v>3400.0</v>
      </c>
      <c r="D6" s="2">
        <v>3.9</v>
      </c>
      <c r="E6" s="2">
        <v>6.2</v>
      </c>
      <c r="F6" s="2" t="s">
        <v>54</v>
      </c>
    </row>
    <row r="7">
      <c r="A7" s="6" t="s">
        <v>55</v>
      </c>
      <c r="B7" s="3">
        <v>128.0</v>
      </c>
      <c r="C7" s="3">
        <v>2100.0</v>
      </c>
      <c r="D7" s="3">
        <v>6.1</v>
      </c>
      <c r="E7" s="3">
        <v>4.1</v>
      </c>
      <c r="F7" s="3" t="s">
        <v>56</v>
      </c>
    </row>
    <row r="8">
      <c r="A8" s="5" t="s">
        <v>57</v>
      </c>
      <c r="B8" s="2">
        <v>112.0</v>
      </c>
      <c r="C8" s="2">
        <v>1900.0</v>
      </c>
      <c r="D8" s="2">
        <v>5.9</v>
      </c>
      <c r="E8" s="2">
        <v>5.8</v>
      </c>
      <c r="F8" s="2" t="s">
        <v>58</v>
      </c>
    </row>
    <row r="9">
      <c r="A9" s="6" t="s">
        <v>59</v>
      </c>
      <c r="B9" s="3">
        <v>98.0</v>
      </c>
      <c r="C9" s="3">
        <v>12000.0</v>
      </c>
      <c r="D9" s="3">
        <v>0.8</v>
      </c>
      <c r="E9" s="3">
        <v>14.2</v>
      </c>
      <c r="F9" s="3" t="s">
        <v>60</v>
      </c>
    </row>
    <row r="10">
      <c r="A10" s="5" t="s">
        <v>61</v>
      </c>
      <c r="B10" s="2">
        <v>87.0</v>
      </c>
      <c r="C10" s="2">
        <v>640.0</v>
      </c>
      <c r="D10" s="2">
        <v>13.6</v>
      </c>
      <c r="E10" s="2">
        <v>3.2</v>
      </c>
      <c r="F10" s="2" t="s">
        <v>62</v>
      </c>
    </row>
    <row r="11">
      <c r="A11" s="6" t="s">
        <v>63</v>
      </c>
      <c r="B11" s="3">
        <v>76.0</v>
      </c>
      <c r="C11" s="3">
        <v>2800.0</v>
      </c>
      <c r="D11" s="3">
        <v>2.7</v>
      </c>
      <c r="E11" s="3">
        <v>7.4</v>
      </c>
      <c r="F11" s="3" t="s">
        <v>64</v>
      </c>
    </row>
    <row r="12">
      <c r="A12" s="5" t="s">
        <v>65</v>
      </c>
      <c r="B12" s="2">
        <v>72.0</v>
      </c>
      <c r="C12" s="2">
        <v>5600.0</v>
      </c>
      <c r="D12" s="2">
        <v>1.3</v>
      </c>
      <c r="E12" s="2">
        <v>11.3</v>
      </c>
      <c r="F12" s="2" t="s">
        <v>66</v>
      </c>
    </row>
    <row r="13">
      <c r="A13" s="6" t="s">
        <v>67</v>
      </c>
      <c r="B13" s="3">
        <v>68.0</v>
      </c>
      <c r="C13" s="3">
        <v>420.0</v>
      </c>
      <c r="D13" s="3">
        <v>16.2</v>
      </c>
      <c r="E13" s="3">
        <v>1.5</v>
      </c>
      <c r="F13" s="3" t="s">
        <v>68</v>
      </c>
    </row>
    <row r="14">
      <c r="A14" s="5" t="s">
        <v>69</v>
      </c>
      <c r="B14" s="2">
        <v>54.0</v>
      </c>
      <c r="C14" s="2">
        <v>890.0</v>
      </c>
      <c r="D14" s="2">
        <v>6.1</v>
      </c>
      <c r="E14" s="2">
        <v>4.8</v>
      </c>
      <c r="F14" s="2" t="s">
        <v>70</v>
      </c>
    </row>
    <row r="15">
      <c r="A15" s="6" t="s">
        <v>71</v>
      </c>
      <c r="B15" s="3">
        <v>48.0</v>
      </c>
      <c r="C15" s="3">
        <v>3200.0</v>
      </c>
      <c r="D15" s="3">
        <v>1.5</v>
      </c>
      <c r="E15" s="3">
        <v>9.6</v>
      </c>
      <c r="F15" s="3" t="s">
        <v>72</v>
      </c>
    </row>
    <row r="16">
      <c r="A16" s="5" t="s">
        <v>73</v>
      </c>
      <c r="B16" s="2">
        <v>42.0</v>
      </c>
      <c r="C16" s="2">
        <v>7800.0</v>
      </c>
      <c r="D16" s="2">
        <v>0.5</v>
      </c>
      <c r="E16" s="2">
        <v>18.4</v>
      </c>
      <c r="F16" s="2" t="s">
        <v>50</v>
      </c>
    </row>
    <row r="17">
      <c r="A17" s="6" t="s">
        <v>74</v>
      </c>
      <c r="B17" s="3">
        <v>38.0</v>
      </c>
      <c r="C17" s="3">
        <v>1600.0</v>
      </c>
      <c r="D17" s="3">
        <v>2.4</v>
      </c>
      <c r="E17" s="3">
        <v>8.1</v>
      </c>
      <c r="F17" s="3" t="s">
        <v>75</v>
      </c>
    </row>
    <row r="18" ht="15.75" customHeight="1">
      <c r="A18" s="5" t="s">
        <v>76</v>
      </c>
      <c r="B18" s="2">
        <v>35.0</v>
      </c>
      <c r="C18" s="2">
        <v>2400.0</v>
      </c>
      <c r="D18" s="2">
        <v>1.5</v>
      </c>
      <c r="E18" s="2">
        <v>12.7</v>
      </c>
      <c r="F18" s="2" t="s">
        <v>77</v>
      </c>
    </row>
    <row r="19" ht="15.75" customHeight="1">
      <c r="A19" s="6" t="s">
        <v>78</v>
      </c>
      <c r="B19" s="3">
        <v>31.0</v>
      </c>
      <c r="C19" s="3">
        <v>280.0</v>
      </c>
      <c r="D19" s="3">
        <v>11.1</v>
      </c>
      <c r="E19" s="3">
        <v>2.4</v>
      </c>
      <c r="F19" s="3" t="s">
        <v>79</v>
      </c>
    </row>
    <row r="20" ht="15.75" customHeight="1">
      <c r="A20" s="5" t="s">
        <v>80</v>
      </c>
      <c r="B20" s="2">
        <v>28.0</v>
      </c>
      <c r="C20" s="2">
        <v>1900.0</v>
      </c>
      <c r="D20" s="2">
        <v>1.5</v>
      </c>
      <c r="E20" s="2">
        <v>13.5</v>
      </c>
      <c r="F20" s="2" t="s">
        <v>52</v>
      </c>
    </row>
    <row r="21" ht="15.75" customHeight="1">
      <c r="A21" s="6" t="s">
        <v>81</v>
      </c>
      <c r="B21" s="3">
        <v>24.0</v>
      </c>
      <c r="C21" s="3">
        <v>3100.0</v>
      </c>
      <c r="D21" s="3">
        <v>0.8</v>
      </c>
      <c r="E21" s="3">
        <v>16.8</v>
      </c>
      <c r="F21" s="3" t="s">
        <v>82</v>
      </c>
    </row>
    <row r="22" ht="15.75" customHeight="1">
      <c r="A22" s="5" t="s">
        <v>83</v>
      </c>
      <c r="B22" s="2">
        <v>21.0</v>
      </c>
      <c r="C22" s="2">
        <v>780.0</v>
      </c>
      <c r="D22" s="2">
        <v>2.7</v>
      </c>
      <c r="E22" s="2">
        <v>9.2</v>
      </c>
      <c r="F22" s="2" t="s">
        <v>84</v>
      </c>
    </row>
    <row r="23" ht="15.75" customHeight="1">
      <c r="A23" s="6" t="s">
        <v>85</v>
      </c>
      <c r="B23" s="3">
        <v>18.0</v>
      </c>
      <c r="C23" s="3">
        <v>1200.0</v>
      </c>
      <c r="D23" s="3">
        <v>1.5</v>
      </c>
      <c r="E23" s="3">
        <v>11.4</v>
      </c>
      <c r="F23" s="3" t="s">
        <v>86</v>
      </c>
    </row>
    <row r="24" ht="15.75" customHeight="1">
      <c r="A24" s="5" t="s">
        <v>87</v>
      </c>
      <c r="B24" s="2">
        <v>15.0</v>
      </c>
      <c r="C24" s="2">
        <v>640.0</v>
      </c>
      <c r="D24" s="2">
        <v>2.3</v>
      </c>
      <c r="E24" s="2">
        <v>7.9</v>
      </c>
      <c r="F24" s="2" t="s">
        <v>88</v>
      </c>
    </row>
    <row r="25" ht="15.75" customHeight="1">
      <c r="A25" s="6" t="s">
        <v>89</v>
      </c>
      <c r="B25" s="3">
        <v>12.0</v>
      </c>
      <c r="C25" s="3">
        <v>340.0</v>
      </c>
      <c r="D25" s="3">
        <v>3.5</v>
      </c>
      <c r="E25" s="3">
        <v>6.3</v>
      </c>
      <c r="F25" s="3" t="s">
        <v>90</v>
      </c>
    </row>
    <row r="26" ht="15.75" customHeight="1">
      <c r="A26" s="5" t="s">
        <v>91</v>
      </c>
      <c r="B26" s="2">
        <v>9.0</v>
      </c>
      <c r="C26" s="2">
        <v>2100.0</v>
      </c>
      <c r="D26" s="2">
        <v>0.4</v>
      </c>
      <c r="E26" s="2">
        <v>22.1</v>
      </c>
      <c r="F26" s="2" t="s">
        <v>92</v>
      </c>
    </row>
    <row r="27" ht="15.75" customHeight="1">
      <c r="A27" s="4" t="s">
        <v>38</v>
      </c>
      <c r="B27" s="4">
        <f t="shared" ref="B27:C27" si="1">SUM(B2:B26)</f>
        <v>1907</v>
      </c>
      <c r="C27" s="4">
        <f t="shared" si="1"/>
        <v>70990</v>
      </c>
      <c r="D27" s="4">
        <f t="shared" ref="D27:E27" si="2">AVERAGE(D2:D26)</f>
        <v>4.884</v>
      </c>
      <c r="E27" s="4">
        <f t="shared" si="2"/>
        <v>8.592</v>
      </c>
      <c r="F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77F2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8" width="16.0"/>
    <col customWidth="1" min="9" max="26" width="8.71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41</v>
      </c>
      <c r="F1" s="1" t="s">
        <v>40</v>
      </c>
      <c r="G1" s="1" t="s">
        <v>97</v>
      </c>
      <c r="H1" s="1" t="s">
        <v>5</v>
      </c>
    </row>
    <row r="2">
      <c r="A2" s="5" t="s">
        <v>98</v>
      </c>
      <c r="B2" s="2" t="s">
        <v>99</v>
      </c>
      <c r="C2" s="2">
        <v>2500.0</v>
      </c>
      <c r="D2" s="2">
        <v>2347.8</v>
      </c>
      <c r="E2" s="2">
        <v>89400.0</v>
      </c>
      <c r="F2" s="2">
        <v>1245.0</v>
      </c>
      <c r="G2" s="2">
        <v>1.89</v>
      </c>
      <c r="H2" s="2">
        <v>47.0</v>
      </c>
    </row>
    <row r="3">
      <c r="A3" s="6" t="s">
        <v>100</v>
      </c>
      <c r="B3" s="3" t="s">
        <v>99</v>
      </c>
      <c r="C3" s="3">
        <v>800.0</v>
      </c>
      <c r="D3" s="3">
        <v>756.2</v>
      </c>
      <c r="E3" s="3">
        <v>34200.0</v>
      </c>
      <c r="F3" s="3">
        <v>892.0</v>
      </c>
      <c r="G3" s="3">
        <v>0.85</v>
      </c>
      <c r="H3" s="3">
        <v>31.0</v>
      </c>
    </row>
    <row r="4">
      <c r="A4" s="5" t="s">
        <v>101</v>
      </c>
      <c r="B4" s="2" t="s">
        <v>99</v>
      </c>
      <c r="C4" s="2">
        <v>1500.0</v>
      </c>
      <c r="D4" s="2">
        <v>1423.5</v>
      </c>
      <c r="E4" s="2">
        <v>67800.0</v>
      </c>
      <c r="F4" s="2">
        <v>987.0</v>
      </c>
      <c r="G4" s="2">
        <v>1.44</v>
      </c>
      <c r="H4" s="2">
        <v>28.0</v>
      </c>
    </row>
    <row r="5">
      <c r="A5" s="6" t="s">
        <v>102</v>
      </c>
      <c r="B5" s="3" t="s">
        <v>103</v>
      </c>
      <c r="C5" s="3">
        <v>1200.0</v>
      </c>
      <c r="D5" s="3">
        <v>890.4</v>
      </c>
      <c r="E5" s="3">
        <v>156000.0</v>
      </c>
      <c r="F5" s="3">
        <v>1560.0</v>
      </c>
      <c r="G5" s="3">
        <v>0.57</v>
      </c>
      <c r="H5" s="3">
        <v>8.0</v>
      </c>
    </row>
    <row r="6">
      <c r="A6" s="5" t="s">
        <v>104</v>
      </c>
      <c r="B6" s="2" t="s">
        <v>99</v>
      </c>
      <c r="C6" s="2">
        <v>600.0</v>
      </c>
      <c r="D6" s="2">
        <v>567.3</v>
      </c>
      <c r="E6" s="2">
        <v>28900.0</v>
      </c>
      <c r="F6" s="2">
        <v>734.0</v>
      </c>
      <c r="G6" s="2">
        <v>0.77</v>
      </c>
      <c r="H6" s="2">
        <v>52.0</v>
      </c>
    </row>
    <row r="7">
      <c r="A7" s="4" t="s">
        <v>38</v>
      </c>
      <c r="B7" s="4"/>
      <c r="C7" s="4">
        <f t="shared" ref="C7:F7" si="1">SUM(C2:C6)</f>
        <v>6600</v>
      </c>
      <c r="D7" s="4">
        <f t="shared" si="1"/>
        <v>5985.2</v>
      </c>
      <c r="E7" s="4">
        <f t="shared" si="1"/>
        <v>376300</v>
      </c>
      <c r="F7" s="4">
        <f t="shared" si="1"/>
        <v>5418</v>
      </c>
      <c r="G7" s="4">
        <f>AVERAGE(G2:G6)</f>
        <v>1.104</v>
      </c>
      <c r="H7" s="4">
        <f>SUM(H2:H6)</f>
        <v>166</v>
      </c>
    </row>
    <row r="9">
      <c r="A9" s="7" t="s">
        <v>105</v>
      </c>
    </row>
    <row r="10">
      <c r="A10" s="8" t="s">
        <v>106</v>
      </c>
      <c r="B10" s="9">
        <f>D7/H7</f>
        <v>36.05542169</v>
      </c>
    </row>
    <row r="11">
      <c r="A11" s="8" t="s">
        <v>107</v>
      </c>
      <c r="B11" s="9">
        <v>2.8</v>
      </c>
    </row>
    <row r="12">
      <c r="A12" s="8" t="s">
        <v>108</v>
      </c>
      <c r="B12" s="9">
        <v>290.0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B00"/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14.0"/>
    <col customWidth="1" min="5" max="5" width="16.0"/>
    <col customWidth="1" min="6" max="6" width="42.0"/>
    <col customWidth="1" min="7" max="26" width="8.71"/>
  </cols>
  <sheetData>
    <row r="1">
      <c r="A1" s="1" t="s">
        <v>109</v>
      </c>
      <c r="B1" s="1" t="s">
        <v>110</v>
      </c>
      <c r="C1" s="1" t="s">
        <v>111</v>
      </c>
      <c r="D1" s="1" t="s">
        <v>112</v>
      </c>
      <c r="E1" s="1" t="s">
        <v>94</v>
      </c>
      <c r="F1" s="1" t="s">
        <v>113</v>
      </c>
    </row>
    <row r="2">
      <c r="A2" s="5" t="s">
        <v>114</v>
      </c>
      <c r="B2" s="2">
        <v>8000.0</v>
      </c>
      <c r="C2" s="2">
        <v>8847.0</v>
      </c>
      <c r="D2" s="2">
        <f t="shared" ref="D2:D8" si="1">C2/B2*100</f>
        <v>110.5875</v>
      </c>
      <c r="E2" s="2" t="s">
        <v>115</v>
      </c>
      <c r="F2" s="5" t="s">
        <v>116</v>
      </c>
    </row>
    <row r="3">
      <c r="A3" s="6" t="s">
        <v>117</v>
      </c>
      <c r="B3" s="3">
        <v>45.0</v>
      </c>
      <c r="C3" s="3">
        <v>38.0</v>
      </c>
      <c r="D3" s="3">
        <f t="shared" si="1"/>
        <v>84.44444444</v>
      </c>
      <c r="E3" s="3" t="s">
        <v>118</v>
      </c>
      <c r="F3" s="6" t="s">
        <v>119</v>
      </c>
    </row>
    <row r="4">
      <c r="A4" s="5" t="s">
        <v>120</v>
      </c>
      <c r="B4" s="2">
        <v>3.0</v>
      </c>
      <c r="C4" s="2">
        <v>2.8</v>
      </c>
      <c r="D4" s="2">
        <f t="shared" si="1"/>
        <v>93.33333333</v>
      </c>
      <c r="E4" s="2" t="s">
        <v>121</v>
      </c>
      <c r="F4" s="5" t="s">
        <v>122</v>
      </c>
    </row>
    <row r="5">
      <c r="A5" s="6" t="s">
        <v>123</v>
      </c>
      <c r="B5" s="3">
        <v>5.0</v>
      </c>
      <c r="C5" s="3">
        <v>4.8</v>
      </c>
      <c r="D5" s="3">
        <f t="shared" si="1"/>
        <v>96</v>
      </c>
      <c r="E5" s="3" t="s">
        <v>124</v>
      </c>
      <c r="F5" s="6" t="s">
        <v>125</v>
      </c>
    </row>
    <row r="6">
      <c r="A6" s="5" t="s">
        <v>126</v>
      </c>
      <c r="B6" s="2">
        <v>40.0</v>
      </c>
      <c r="C6" s="2">
        <f>'Meta Ads'!B10</f>
        <v>36.05542169</v>
      </c>
      <c r="D6" s="2">
        <f t="shared" si="1"/>
        <v>90.13855422</v>
      </c>
      <c r="E6" s="2" t="s">
        <v>124</v>
      </c>
      <c r="F6" s="5" t="s">
        <v>127</v>
      </c>
    </row>
    <row r="7">
      <c r="A7" s="6" t="s">
        <v>128</v>
      </c>
      <c r="B7" s="3">
        <v>15.0</v>
      </c>
      <c r="C7" s="3">
        <v>12.0</v>
      </c>
      <c r="D7" s="3">
        <f t="shared" si="1"/>
        <v>80</v>
      </c>
      <c r="E7" s="3" t="s">
        <v>118</v>
      </c>
      <c r="F7" s="6" t="s">
        <v>129</v>
      </c>
    </row>
    <row r="8">
      <c r="A8" s="5" t="s">
        <v>130</v>
      </c>
      <c r="B8" s="2">
        <v>90.0</v>
      </c>
      <c r="C8" s="2">
        <v>94.0</v>
      </c>
      <c r="D8" s="2">
        <f t="shared" si="1"/>
        <v>104.4444444</v>
      </c>
      <c r="E8" s="2" t="s">
        <v>115</v>
      </c>
      <c r="F8" s="5" t="s">
        <v>131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paperSize="9" orientation="portrait"/>
  <drawing r:id="rId1"/>
</worksheet>
</file>